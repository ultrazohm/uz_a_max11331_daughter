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Slow ADC Adapter\Project Outputs for UltraZohm Analog Fast ADC 1v01 ADS5272 3U\BOM\"/>
    </mc:Choice>
  </mc:AlternateContent>
  <xr:revisionPtr revIDLastSave="0" documentId="13_ncr:1_{9BFB985D-2729-410C-8DF6-A7D7AA66A4DA}" xr6:coauthVersionLast="45" xr6:coauthVersionMax="45" xr10:uidLastSave="{00000000-0000-0000-0000-000000000000}"/>
  <bookViews>
    <workbookView xWindow="-120" yWindow="-120" windowWidth="29040" windowHeight="15840" xr2:uid="{9426DEA8-BC9A-4EA5-8815-B048440A2661}"/>
  </bookViews>
  <sheets>
    <sheet name="BOM_Analog_Daugther_MAX11331_6U" sheetId="1" r:id="rId1"/>
  </sheets>
  <definedNames>
    <definedName name="_xlnm.Print_Titles" localSheetId="0">BOM_Analog_Daugther_MAX11331_6U!$1:$1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2" i="1"/>
  <c r="L40" i="1"/>
  <c r="N40" i="1" l="1"/>
</calcChain>
</file>

<file path=xl/sharedStrings.xml><?xml version="1.0" encoding="utf-8"?>
<sst xmlns="http://schemas.openxmlformats.org/spreadsheetml/2006/main" count="341" uniqueCount="206">
  <si>
    <t>Name</t>
  </si>
  <si>
    <t>Designator</t>
  </si>
  <si>
    <t>MF</t>
  </si>
  <si>
    <t>MPN</t>
  </si>
  <si>
    <t>Value</t>
  </si>
  <si>
    <t>Description</t>
  </si>
  <si>
    <t>Footprint</t>
  </si>
  <si>
    <t>Supplier 1</t>
  </si>
  <si>
    <t>Supplier Part Number 1</t>
  </si>
  <si>
    <t>Supplier Unit Price 1</t>
  </si>
  <si>
    <t>Quantity</t>
  </si>
  <si>
    <t>Supplier Subtotal 1</t>
  </si>
  <si>
    <t>Ferrite bead</t>
  </si>
  <si>
    <t>BS1, BS2, BS3</t>
  </si>
  <si>
    <t>Stackpole Electronics</t>
  </si>
  <si>
    <t>6A</t>
  </si>
  <si>
    <t>RES_1206</t>
  </si>
  <si>
    <t>Digi-Key</t>
  </si>
  <si>
    <t>RMCF1206ZT0R00CT-ND</t>
  </si>
  <si>
    <t>200pF</t>
  </si>
  <si>
    <t>C2A, C2B, C2C, C2D, C2E, C2F, C2G, C2H, C5A, C5B, C5C, C5D, C5E, C5F, C5G, C5H, C6A, C6B, C6C, C6D, C6E, C6F, C6G, C6H, C9A, C9B, C9C, C9D, C9E, C9F, C9G, C9H, C10A, C10B, C10C, C10D, C10E, C10F, C10G, C10H, C13A, C13B, C13C, C13D, C13E, C13F, C13G, C13H, C18A, C18B, C18C, C18D, C18E, C18F, C18G, C18H, C21A, C21B, C21C, C21D, C21E, C21F, C21G, C21H</t>
  </si>
  <si>
    <t>Walsin</t>
  </si>
  <si>
    <t>0603N201J500CT</t>
  </si>
  <si>
    <t>Capacitor</t>
  </si>
  <si>
    <t>CAP_0603</t>
  </si>
  <si>
    <t>1292-1499-1-ND</t>
  </si>
  <si>
    <t>100pF</t>
  </si>
  <si>
    <t>C3A, C3B, C3C, C3D, C3E, C3F, C3G, C3H, C7A, C7B, C7C, C7D, C7E, C7F, C7G, C7H, C11A, C11B, C11C, C11D, C11E, C11F, C11G, C11H, C19A, C19B, C19C, C19D, C19E, C19F, C19G, C19H</t>
  </si>
  <si>
    <t>Würth Elektronik</t>
  </si>
  <si>
    <t>885012006023</t>
  </si>
  <si>
    <t>732-7766-1-ND</t>
  </si>
  <si>
    <t>100nF</t>
  </si>
  <si>
    <t>C4A, C4B, C4C, C4D, C4E, C4F, C4G, C4H, C8A, C8B, C8C, C8D, C8E, C8F, C8G, C8H, C12A, C12B, C12C, C12D, C12E, C12F, C12G, C12H, C20A, C20B, C20C, C20D, C20E, C20F, C20G, C20H</t>
  </si>
  <si>
    <t>Samsung</t>
  </si>
  <si>
    <t>CL31B105KOFNNNE</t>
  </si>
  <si>
    <t>1276-1783-1-ND</t>
  </si>
  <si>
    <t>C14A, C14B, C14C, C14D, C14E, C14F, C14G, C14H, C15A, C15B, C15C, C15D, C15E, C15F, C15G, C15H, C16A, C16B, C16C, C16D, C16E, C16F, C16G, C16H, C17A, C17B, C17C, C17D, C17E, C17F, C17G, C17H, C22A, C22B, C22C, C22D, C22E, C22F, C22G, C22H, C23A, C23B, C23C, C23D, C23E, C23F, C23G, C23H, C24A, C24B, C24C, C24D, C24E, C24F, C24G, C24H, C25A, C25B, C25C, C25D, C25E, C25F, C25G, C25H, C27A, C27B, C27C, C27D, C28A, C28B, C28C, C28D, C30A, C30B, C30C, C30D, C34A, C34B, C34C, C34D, C35, C36, C38, C39, C40, C45, C48</t>
  </si>
  <si>
    <t>CL10B104KA8NNNC</t>
  </si>
  <si>
    <t>1276-1006-1-ND</t>
  </si>
  <si>
    <t>10uF</t>
  </si>
  <si>
    <t>C26A, C26B, C26C, C26D, C33A, C33B, C33C, C33D</t>
  </si>
  <si>
    <t>Tayo Yuden</t>
  </si>
  <si>
    <t>JMK107ABJ106MA-T</t>
  </si>
  <si>
    <t>Capacitor Ceramic</t>
  </si>
  <si>
    <t>587-5869-1-ND</t>
  </si>
  <si>
    <t>470nF</t>
  </si>
  <si>
    <t>C31A, C31B, C31C, C31D, C32A, C32B, C32C, C32D</t>
  </si>
  <si>
    <t>885012206006</t>
  </si>
  <si>
    <t>732-7925-1-ND</t>
  </si>
  <si>
    <t>2.2nF</t>
  </si>
  <si>
    <t>C41</t>
  </si>
  <si>
    <t>KEMET</t>
  </si>
  <si>
    <t>C0603C222K5RACTU</t>
  </si>
  <si>
    <t>399-1085-1-ND</t>
  </si>
  <si>
    <t>1.2nF</t>
  </si>
  <si>
    <t>C42</t>
  </si>
  <si>
    <t>Murata</t>
  </si>
  <si>
    <t>GRM1885C1H122JA01D</t>
  </si>
  <si>
    <t>490-1453-1-ND</t>
  </si>
  <si>
    <t>68µF</t>
  </si>
  <si>
    <t>C43, C44</t>
  </si>
  <si>
    <t>WCAP-ATG8 THT Aluminum Electrolytic Capacitors, D6.3mm x L11mm, 68uF, +/-20%, 35VDC</t>
  </si>
  <si>
    <t>WCAP-ATG8_6.3x11</t>
  </si>
  <si>
    <t>732-8736-1-ND</t>
  </si>
  <si>
    <t>10µF</t>
  </si>
  <si>
    <t>C46, C47</t>
  </si>
  <si>
    <t>CL31A106MBHNNNE</t>
  </si>
  <si>
    <t>1276-6736-1-ND</t>
  </si>
  <si>
    <t>1µF</t>
  </si>
  <si>
    <t>C49</t>
  </si>
  <si>
    <t>CL10A105KB8NNNC</t>
  </si>
  <si>
    <t>1276-1860-1-ND</t>
  </si>
  <si>
    <t>91pF</t>
  </si>
  <si>
    <t>C50</t>
  </si>
  <si>
    <t>GRM1885C1H910JA01D</t>
  </si>
  <si>
    <t>490-1426-1-ND</t>
  </si>
  <si>
    <t>VCC</t>
  </si>
  <si>
    <t>D1</t>
  </si>
  <si>
    <t>150080BS75000</t>
  </si>
  <si>
    <t>LED Blue</t>
  </si>
  <si>
    <t>LED_0805_GREEN</t>
  </si>
  <si>
    <t>732-4982-1-ND</t>
  </si>
  <si>
    <t>VIN</t>
  </si>
  <si>
    <t>D2</t>
  </si>
  <si>
    <t>Conector RJ-45 4x2</t>
  </si>
  <si>
    <t>J1</t>
  </si>
  <si>
    <t>TE Connectivity</t>
  </si>
  <si>
    <t>1-1734715-2</t>
  </si>
  <si>
    <t>RJ45 - 4x2</t>
  </si>
  <si>
    <t>A118195-ND</t>
  </si>
  <si>
    <t>33µH</t>
  </si>
  <si>
    <t>L1</t>
  </si>
  <si>
    <t>Taiyo Yuden</t>
  </si>
  <si>
    <t>NRS5030T330MMGJ</t>
  </si>
  <si>
    <t>SMT power Inductor, 33µH, 225m DRC</t>
  </si>
  <si>
    <t>Inductor 5030</t>
  </si>
  <si>
    <t>587-3458-1-ND</t>
  </si>
  <si>
    <t>10k</t>
  </si>
  <si>
    <t>R2A, R2B, R2C, R2D, R2E, R2F, R2G, R2H, R13A, R13B, R13C, R13D, R13E, R13F, R13G, R13H</t>
  </si>
  <si>
    <t>Vishay</t>
  </si>
  <si>
    <t>ACASA1002S1002P100</t>
  </si>
  <si>
    <t>Chip Resistor Array 0606, 4xR</t>
  </si>
  <si>
    <t>CAC-80P320X160-8N</t>
  </si>
  <si>
    <t>749-1023-1-ND</t>
  </si>
  <si>
    <t>48.7</t>
  </si>
  <si>
    <t>R3A, R3B, R3C, R3D, R3E, R3F, R3G, R3H, R6A, R6B, R6C, R6D, R6E, R6F, R6G, R6H, R8A, R8B, R8C, R8D, R8E, R8F, R8G, R8H, R11A, R11B, R11C, R11D, R11E, R11F, R11G, R11H, R14A, R14B, R14C, R14D, R14E, R14F, R14G, R14H, R17A, R17B, R17C, R17D, R17E, R17F, R17G, R17H, R19A, R19B, R19C, R19D, R19E, R19F, R19G, R19H, R22A, R22B, R22C, R22D, R22E, R22F, R22G, R22H</t>
  </si>
  <si>
    <t>Panasonic</t>
  </si>
  <si>
    <t>ERA-3AEB48R7V</t>
  </si>
  <si>
    <t/>
  </si>
  <si>
    <t>RES_0603</t>
  </si>
  <si>
    <t>P48.7DBCT-ND</t>
  </si>
  <si>
    <t>24.3k</t>
  </si>
  <si>
    <t>R4A, R4B, R4C, R4D, R4E, R4F, R4G, R4H, R7A, R7B, R7C, R7D, R7E, R7F, R7G, R7H, R9A, R9B, R9C, R9D, R9E, R9F, R9G, R9H, R12A, R12B, R12C, R12D, R12E, R12F, R12G, R12H, R15A, R15B, R15C, R15D, R15E, R15F, R15G, R15H, R18A, R18B, R18C, R18D, R18E, R18F, R18G, R18H, R20A, R20B, R20C, R20D, R20E, R20F, R20G, R20H, R23A, R23B, R23C, R23D, R23E, R23F, R23G, R23H</t>
  </si>
  <si>
    <t>ERJ-PB3B2432V</t>
  </si>
  <si>
    <t>P20128CT-ND</t>
  </si>
  <si>
    <t>160R</t>
  </si>
  <si>
    <t>R5A, R5B, R5C, R5D, R5E, R5F, R5G, R5H, R10A, R10B, R10C, R10D, R10E, R10F, R10G, R10H, R16A, R16B, R16C, R16D, R16E, R16F, R16G, R16H, R21A, R21B, R21C, R21D, R21E, R21F, R21G, R21H</t>
  </si>
  <si>
    <t>Yageo</t>
  </si>
  <si>
    <t>RC1206FR-07160RL</t>
  </si>
  <si>
    <t>Limiter Resistor</t>
  </si>
  <si>
    <t>311-160FRCT-ND</t>
  </si>
  <si>
    <t>100R</t>
  </si>
  <si>
    <t>R25, R26, R27, R37</t>
  </si>
  <si>
    <t>RC0603FR-07100RL</t>
  </si>
  <si>
    <t>311-100HRCT-ND</t>
  </si>
  <si>
    <t>R28, R29, R30, R34</t>
  </si>
  <si>
    <t>RC0603FR-0710KL</t>
  </si>
  <si>
    <t>311-10.0KHRCT-ND</t>
  </si>
  <si>
    <t>2.2M</t>
  </si>
  <si>
    <t>R31</t>
  </si>
  <si>
    <t>KOA Speer</t>
  </si>
  <si>
    <t>RK73H1JTTD2204F</t>
  </si>
  <si>
    <t>2019-RK73H1JTTD2204FCT-ND</t>
  </si>
  <si>
    <t>200k</t>
  </si>
  <si>
    <t>R32</t>
  </si>
  <si>
    <t>ERJ-3EKF2003V</t>
  </si>
  <si>
    <t>P200KHCT-ND</t>
  </si>
  <si>
    <t>115k</t>
  </si>
  <si>
    <t>R33</t>
  </si>
  <si>
    <t>RK73H1JTTD1153F</t>
  </si>
  <si>
    <t>2019-RK73H1JTTD1153FCT-ND</t>
  </si>
  <si>
    <t>100k</t>
  </si>
  <si>
    <t>R35</t>
  </si>
  <si>
    <t>Susumu</t>
  </si>
  <si>
    <t>RR0816P-104-D</t>
  </si>
  <si>
    <t>RR08P100KDCT-ND</t>
  </si>
  <si>
    <t>330</t>
  </si>
  <si>
    <t>R36</t>
  </si>
  <si>
    <t>RC0603FR-07330RL</t>
  </si>
  <si>
    <t>311-330HRCT-ND</t>
  </si>
  <si>
    <t>20k</t>
  </si>
  <si>
    <t>R38</t>
  </si>
  <si>
    <t>VREF 3.3V/1.65V</t>
  </si>
  <si>
    <t>REF1A, REF1B, REF1C, REF1D</t>
  </si>
  <si>
    <t>Texas Instruments</t>
  </si>
  <si>
    <t>REF2033AIDDCT</t>
  </si>
  <si>
    <t>SOT-23-5</t>
  </si>
  <si>
    <t>296-40487-1-ND</t>
  </si>
  <si>
    <t>THS4524</t>
  </si>
  <si>
    <t>U1A, U1B, U1C, U1D, U1E, U1F, U1G, U1H</t>
  </si>
  <si>
    <t>Quad Channel fully differential Amplilfier</t>
  </si>
  <si>
    <t>THS4524 Footprint</t>
  </si>
  <si>
    <t>296-24315-1-ND</t>
  </si>
  <si>
    <t>MAX11331</t>
  </si>
  <si>
    <t>U2A, U2B, U2C, U2D</t>
  </si>
  <si>
    <t>Maximm Integrated</t>
  </si>
  <si>
    <t>MAX11331ATJ+</t>
  </si>
  <si>
    <t>ADC 12 bits SPI</t>
  </si>
  <si>
    <t>32-TQFN-EP (5x5)</t>
  </si>
  <si>
    <t>MAX11331ATJ+-ND</t>
  </si>
  <si>
    <t>Quad LVDS reciever</t>
  </si>
  <si>
    <t>U3</t>
  </si>
  <si>
    <t>Analog Devices</t>
  </si>
  <si>
    <t>ADN4666ARUZ</t>
  </si>
  <si>
    <t>3V, LVDS, quad, CMOS Differential Line Receiver</t>
  </si>
  <si>
    <t>TSOP65P640X120-16N</t>
  </si>
  <si>
    <t>ADN4666ARUZ-ND</t>
  </si>
  <si>
    <t>Clock buffer</t>
  </si>
  <si>
    <t>U4, U5, U7</t>
  </si>
  <si>
    <t>CDCV304PWRG4</t>
  </si>
  <si>
    <t>1:4 200MHz LVCMOS clock buffer, general-purpose, PCI-X Compliant</t>
  </si>
  <si>
    <t>TSOP65P640X120-8N</t>
  </si>
  <si>
    <t>296-35899-1-ND</t>
  </si>
  <si>
    <t>Quad LVDS driver</t>
  </si>
  <si>
    <t>U6</t>
  </si>
  <si>
    <t>ADN4665ARUZ</t>
  </si>
  <si>
    <t>3V, LVDS, Quad, CMOS Differential Line Driver</t>
  </si>
  <si>
    <t>ADN4665ARUZ-ND</t>
  </si>
  <si>
    <t>buck converter</t>
  </si>
  <si>
    <t>U9</t>
  </si>
  <si>
    <t>LM5163DDAR</t>
  </si>
  <si>
    <t>100V Input, 0.5A Synchronous Buck DC/DC Converter with Ultra-low Iq</t>
  </si>
  <si>
    <t>SOIC127P600X170_HS-9N</t>
  </si>
  <si>
    <t>296-LM5163DDARCT-ND</t>
  </si>
  <si>
    <t>IPL1-102-01-L-D-K</t>
  </si>
  <si>
    <t>X1</t>
  </si>
  <si>
    <t>Samtec</t>
  </si>
  <si>
    <t>2.54mm Double Row Terminal Assembly, Right-Angled</t>
  </si>
  <si>
    <t>SAM10565-ND</t>
  </si>
  <si>
    <t>2x8 Pin</t>
  </si>
  <si>
    <t>X2</t>
  </si>
  <si>
    <t>EHF-108-01-F-D</t>
  </si>
  <si>
    <t>Dual Row, 2x8 Shrouded IDC Header with Ejectors 50 mil pitch</t>
  </si>
  <si>
    <t>SAM9265-ND</t>
  </si>
  <si>
    <t>quantitiy 2</t>
  </si>
  <si>
    <t>total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</si>
</sst>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1BE6-F64E-43ED-A990-2CDDB23224AE}">
  <sheetPr>
    <pageSetUpPr fitToPage="1"/>
  </sheetPr>
  <dimension ref="A1:N40"/>
  <sheetViews>
    <sheetView tabSelected="1" topLeftCell="A37" workbookViewId="0">
      <selection activeCell="O40" sqref="O40"/>
    </sheetView>
  </sheetViews>
  <sheetFormatPr baseColWidth="10" defaultRowHeight="15" x14ac:dyDescent="0.25"/>
  <cols>
    <col min="1" max="1" width="18.85546875" customWidth="1"/>
    <col min="2" max="2" width="17.7109375" customWidth="1"/>
    <col min="3" max="3" width="19" customWidth="1"/>
    <col min="4" max="4" width="21.28515625" customWidth="1"/>
    <col min="5" max="5" width="13.85546875" customWidth="1"/>
    <col min="6" max="7" width="12.85546875" customWidth="1"/>
    <col min="8" max="8" width="12.42578125" customWidth="1"/>
    <col min="9" max="9" width="15.85546875" customWidth="1"/>
    <col min="10" max="12" width="16.7109375" customWidth="1"/>
  </cols>
  <sheetData>
    <row r="1" spans="1:1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204</v>
      </c>
      <c r="N1" s="1" t="s">
        <v>205</v>
      </c>
    </row>
    <row r="2" spans="1:14" ht="30" x14ac:dyDescent="0.25">
      <c r="A2" s="3" t="s">
        <v>12</v>
      </c>
      <c r="B2" s="3" t="s">
        <v>13</v>
      </c>
      <c r="C2" s="3" t="s">
        <v>14</v>
      </c>
      <c r="D2" s="4"/>
      <c r="E2" s="4"/>
      <c r="F2" s="3" t="s">
        <v>15</v>
      </c>
      <c r="G2" s="3" t="s">
        <v>16</v>
      </c>
      <c r="H2" s="3" t="s">
        <v>17</v>
      </c>
      <c r="I2" s="3" t="s">
        <v>18</v>
      </c>
      <c r="J2" s="4">
        <v>2.7E-2</v>
      </c>
      <c r="K2" s="4">
        <v>3</v>
      </c>
      <c r="L2" s="4">
        <v>0.27</v>
      </c>
      <c r="M2" s="5">
        <v>3</v>
      </c>
      <c r="N2">
        <f>J2*M2</f>
        <v>8.1000000000000003E-2</v>
      </c>
    </row>
    <row r="3" spans="1:14" ht="315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19</v>
      </c>
      <c r="F3" s="3" t="s">
        <v>23</v>
      </c>
      <c r="G3" s="3" t="s">
        <v>24</v>
      </c>
      <c r="H3" s="3" t="s">
        <v>17</v>
      </c>
      <c r="I3" s="3" t="s">
        <v>25</v>
      </c>
      <c r="J3" s="4">
        <v>3.04E-2</v>
      </c>
      <c r="K3" s="4">
        <v>64</v>
      </c>
      <c r="L3" s="4">
        <v>3.04</v>
      </c>
      <c r="M3" s="5">
        <v>20</v>
      </c>
      <c r="N3">
        <f t="shared" ref="N3:N39" si="0">J3*M3</f>
        <v>0.60799999999999998</v>
      </c>
    </row>
    <row r="4" spans="1:14" ht="165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26</v>
      </c>
      <c r="F4" s="3" t="s">
        <v>23</v>
      </c>
      <c r="G4" s="3" t="s">
        <v>24</v>
      </c>
      <c r="H4" s="3" t="s">
        <v>17</v>
      </c>
      <c r="I4" s="3" t="s">
        <v>30</v>
      </c>
      <c r="J4" s="4">
        <v>2.5000000000000001E-2</v>
      </c>
      <c r="K4" s="4">
        <v>32</v>
      </c>
      <c r="L4" s="4">
        <v>0.8</v>
      </c>
      <c r="M4" s="5">
        <v>10</v>
      </c>
      <c r="N4">
        <f t="shared" si="0"/>
        <v>0.25</v>
      </c>
    </row>
    <row r="5" spans="1:14" ht="165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31</v>
      </c>
      <c r="F5" s="3" t="s">
        <v>23</v>
      </c>
      <c r="G5" s="3" t="s">
        <v>16</v>
      </c>
      <c r="H5" s="3" t="s">
        <v>17</v>
      </c>
      <c r="I5" s="3" t="s">
        <v>35</v>
      </c>
      <c r="J5" s="4">
        <v>0.113</v>
      </c>
      <c r="K5" s="4">
        <v>32</v>
      </c>
      <c r="L5" s="4">
        <v>3.62</v>
      </c>
      <c r="M5" s="6">
        <v>20</v>
      </c>
      <c r="N5">
        <f t="shared" si="0"/>
        <v>2.2600000000000002</v>
      </c>
    </row>
    <row r="6" spans="1:14" ht="409.5" x14ac:dyDescent="0.25">
      <c r="A6" s="3" t="s">
        <v>31</v>
      </c>
      <c r="B6" s="3" t="s">
        <v>36</v>
      </c>
      <c r="C6" s="3" t="s">
        <v>33</v>
      </c>
      <c r="D6" s="3" t="s">
        <v>37</v>
      </c>
      <c r="E6" s="3" t="s">
        <v>31</v>
      </c>
      <c r="F6" s="3" t="s">
        <v>23</v>
      </c>
      <c r="G6" s="3" t="s">
        <v>24</v>
      </c>
      <c r="H6" s="3" t="s">
        <v>17</v>
      </c>
      <c r="I6" s="3" t="s">
        <v>38</v>
      </c>
      <c r="J6" s="4">
        <v>1.3599999999999999E-2</v>
      </c>
      <c r="K6" s="4">
        <v>87</v>
      </c>
      <c r="L6" s="4">
        <v>1.36</v>
      </c>
      <c r="M6" s="6">
        <v>50</v>
      </c>
      <c r="N6">
        <f t="shared" si="0"/>
        <v>0.67999999999999994</v>
      </c>
    </row>
    <row r="7" spans="1:14" ht="45" x14ac:dyDescent="0.25">
      <c r="A7" s="3" t="s">
        <v>39</v>
      </c>
      <c r="B7" s="3" t="s">
        <v>40</v>
      </c>
      <c r="C7" s="3" t="s">
        <v>41</v>
      </c>
      <c r="D7" s="3" t="s">
        <v>42</v>
      </c>
      <c r="E7" s="3" t="s">
        <v>39</v>
      </c>
      <c r="F7" s="3" t="s">
        <v>43</v>
      </c>
      <c r="G7" s="3" t="s">
        <v>24</v>
      </c>
      <c r="H7" s="3" t="s">
        <v>17</v>
      </c>
      <c r="I7" s="3" t="s">
        <v>44</v>
      </c>
      <c r="J7" s="4">
        <v>9.6000000000000002E-2</v>
      </c>
      <c r="K7" s="4">
        <v>8</v>
      </c>
      <c r="L7" s="4">
        <v>0.96</v>
      </c>
      <c r="M7" s="6">
        <v>2</v>
      </c>
      <c r="N7">
        <f t="shared" si="0"/>
        <v>0.192</v>
      </c>
    </row>
    <row r="8" spans="1:14" ht="45" x14ac:dyDescent="0.25">
      <c r="A8" s="3" t="s">
        <v>45</v>
      </c>
      <c r="B8" s="3" t="s">
        <v>46</v>
      </c>
      <c r="C8" s="3" t="s">
        <v>28</v>
      </c>
      <c r="D8" s="3" t="s">
        <v>47</v>
      </c>
      <c r="E8" s="3" t="s">
        <v>45</v>
      </c>
      <c r="F8" s="3" t="s">
        <v>43</v>
      </c>
      <c r="G8" s="3" t="s">
        <v>24</v>
      </c>
      <c r="H8" s="3" t="s">
        <v>17</v>
      </c>
      <c r="I8" s="3" t="s">
        <v>48</v>
      </c>
      <c r="J8" s="4">
        <v>2.1000000000000001E-2</v>
      </c>
      <c r="K8" s="4">
        <v>8</v>
      </c>
      <c r="L8" s="4">
        <v>0.21</v>
      </c>
      <c r="M8" s="6">
        <v>2</v>
      </c>
      <c r="N8">
        <f t="shared" si="0"/>
        <v>4.2000000000000003E-2</v>
      </c>
    </row>
    <row r="9" spans="1:14" ht="30" x14ac:dyDescent="0.25">
      <c r="A9" s="3" t="s">
        <v>49</v>
      </c>
      <c r="B9" s="3" t="s">
        <v>50</v>
      </c>
      <c r="C9" s="3" t="s">
        <v>51</v>
      </c>
      <c r="D9" s="3" t="s">
        <v>52</v>
      </c>
      <c r="E9" s="3" t="s">
        <v>49</v>
      </c>
      <c r="F9" s="3" t="s">
        <v>43</v>
      </c>
      <c r="G9" s="3" t="s">
        <v>24</v>
      </c>
      <c r="H9" s="3" t="s">
        <v>17</v>
      </c>
      <c r="I9" s="3" t="s">
        <v>53</v>
      </c>
      <c r="J9" s="4">
        <v>0.1</v>
      </c>
      <c r="K9" s="4">
        <v>1</v>
      </c>
      <c r="L9" s="4">
        <v>0.1</v>
      </c>
      <c r="M9" s="6">
        <v>1</v>
      </c>
      <c r="N9">
        <f t="shared" si="0"/>
        <v>0.1</v>
      </c>
    </row>
    <row r="10" spans="1:14" ht="30" x14ac:dyDescent="0.25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54</v>
      </c>
      <c r="F10" s="3" t="s">
        <v>43</v>
      </c>
      <c r="G10" s="3" t="s">
        <v>24</v>
      </c>
      <c r="H10" s="3" t="s">
        <v>17</v>
      </c>
      <c r="I10" s="3" t="s">
        <v>58</v>
      </c>
      <c r="J10" s="4">
        <v>0.13</v>
      </c>
      <c r="K10" s="4">
        <v>1</v>
      </c>
      <c r="L10" s="4">
        <v>0.13</v>
      </c>
      <c r="M10" s="6">
        <v>1</v>
      </c>
      <c r="N10">
        <f t="shared" si="0"/>
        <v>0.13</v>
      </c>
    </row>
    <row r="11" spans="1:14" ht="135" x14ac:dyDescent="0.25">
      <c r="A11" s="3" t="s">
        <v>59</v>
      </c>
      <c r="B11" s="3" t="s">
        <v>60</v>
      </c>
      <c r="C11" s="4"/>
      <c r="D11" s="4"/>
      <c r="E11" s="3" t="s">
        <v>59</v>
      </c>
      <c r="F11" s="3" t="s">
        <v>61</v>
      </c>
      <c r="G11" s="3" t="s">
        <v>62</v>
      </c>
      <c r="H11" s="3" t="s">
        <v>17</v>
      </c>
      <c r="I11" s="3" t="s">
        <v>63</v>
      </c>
      <c r="J11" s="4">
        <v>0.13</v>
      </c>
      <c r="K11" s="4">
        <v>2</v>
      </c>
      <c r="L11" s="4">
        <v>0.26</v>
      </c>
      <c r="M11" s="6">
        <v>2</v>
      </c>
      <c r="N11">
        <f t="shared" si="0"/>
        <v>0.26</v>
      </c>
    </row>
    <row r="12" spans="1:14" x14ac:dyDescent="0.25">
      <c r="A12" s="3" t="s">
        <v>64</v>
      </c>
      <c r="B12" s="3" t="s">
        <v>65</v>
      </c>
      <c r="C12" s="3" t="s">
        <v>33</v>
      </c>
      <c r="D12" s="3" t="s">
        <v>66</v>
      </c>
      <c r="E12" s="3" t="s">
        <v>64</v>
      </c>
      <c r="F12" s="3" t="s">
        <v>23</v>
      </c>
      <c r="G12" s="3" t="s">
        <v>16</v>
      </c>
      <c r="H12" s="3" t="s">
        <v>17</v>
      </c>
      <c r="I12" s="3" t="s">
        <v>67</v>
      </c>
      <c r="J12" s="4">
        <v>0.34</v>
      </c>
      <c r="K12" s="4">
        <v>2</v>
      </c>
      <c r="L12" s="4">
        <v>0.68</v>
      </c>
      <c r="M12" s="6">
        <v>2</v>
      </c>
      <c r="N12">
        <f t="shared" si="0"/>
        <v>0.68</v>
      </c>
    </row>
    <row r="13" spans="1:14" ht="30" x14ac:dyDescent="0.25">
      <c r="A13" s="3" t="s">
        <v>68</v>
      </c>
      <c r="B13" s="3" t="s">
        <v>69</v>
      </c>
      <c r="C13" s="3" t="s">
        <v>33</v>
      </c>
      <c r="D13" s="3" t="s">
        <v>70</v>
      </c>
      <c r="E13" s="3" t="s">
        <v>68</v>
      </c>
      <c r="F13" s="3" t="s">
        <v>43</v>
      </c>
      <c r="G13" s="3" t="s">
        <v>24</v>
      </c>
      <c r="H13" s="3" t="s">
        <v>17</v>
      </c>
      <c r="I13" s="3" t="s">
        <v>71</v>
      </c>
      <c r="J13" s="4">
        <v>0.17</v>
      </c>
      <c r="K13" s="4">
        <v>1</v>
      </c>
      <c r="L13" s="4">
        <v>0.17</v>
      </c>
      <c r="M13" s="6">
        <v>1</v>
      </c>
      <c r="N13">
        <f t="shared" si="0"/>
        <v>0.17</v>
      </c>
    </row>
    <row r="14" spans="1:14" ht="30" x14ac:dyDescent="0.25">
      <c r="A14" s="3" t="s">
        <v>72</v>
      </c>
      <c r="B14" s="3" t="s">
        <v>73</v>
      </c>
      <c r="C14" s="3" t="s">
        <v>56</v>
      </c>
      <c r="D14" s="3" t="s">
        <v>74</v>
      </c>
      <c r="E14" s="3" t="s">
        <v>72</v>
      </c>
      <c r="F14" s="3" t="s">
        <v>43</v>
      </c>
      <c r="G14" s="3" t="s">
        <v>24</v>
      </c>
      <c r="H14" s="3" t="s">
        <v>17</v>
      </c>
      <c r="I14" s="3" t="s">
        <v>75</v>
      </c>
      <c r="J14" s="4">
        <v>0.11</v>
      </c>
      <c r="K14" s="4">
        <v>1</v>
      </c>
      <c r="L14" s="4">
        <v>0.11</v>
      </c>
      <c r="M14" s="6">
        <v>1</v>
      </c>
      <c r="N14">
        <f t="shared" si="0"/>
        <v>0.11</v>
      </c>
    </row>
    <row r="15" spans="1:14" ht="30" x14ac:dyDescent="0.25">
      <c r="A15" s="3" t="s">
        <v>76</v>
      </c>
      <c r="B15" s="3" t="s">
        <v>77</v>
      </c>
      <c r="C15" s="3" t="s">
        <v>28</v>
      </c>
      <c r="D15" s="3" t="s">
        <v>78</v>
      </c>
      <c r="E15" s="4"/>
      <c r="F15" s="3" t="s">
        <v>79</v>
      </c>
      <c r="G15" s="3" t="s">
        <v>80</v>
      </c>
      <c r="H15" s="3" t="s">
        <v>17</v>
      </c>
      <c r="I15" s="3" t="s">
        <v>81</v>
      </c>
      <c r="J15" s="4">
        <v>0.18</v>
      </c>
      <c r="K15" s="4">
        <v>1</v>
      </c>
      <c r="L15" s="4">
        <v>0.18</v>
      </c>
      <c r="M15" s="6">
        <v>1</v>
      </c>
      <c r="N15">
        <f t="shared" si="0"/>
        <v>0.18</v>
      </c>
    </row>
    <row r="16" spans="1:14" ht="30" x14ac:dyDescent="0.25">
      <c r="A16" s="3" t="s">
        <v>82</v>
      </c>
      <c r="B16" s="3" t="s">
        <v>83</v>
      </c>
      <c r="C16" s="3" t="s">
        <v>28</v>
      </c>
      <c r="D16" s="3" t="s">
        <v>78</v>
      </c>
      <c r="E16" s="4"/>
      <c r="F16" s="3" t="s">
        <v>79</v>
      </c>
      <c r="G16" s="3" t="s">
        <v>80</v>
      </c>
      <c r="H16" s="3" t="s">
        <v>17</v>
      </c>
      <c r="I16" s="3" t="s">
        <v>81</v>
      </c>
      <c r="J16" s="4">
        <v>0.18</v>
      </c>
      <c r="K16" s="4">
        <v>1</v>
      </c>
      <c r="L16" s="4">
        <v>0.18</v>
      </c>
      <c r="M16" s="6">
        <v>1</v>
      </c>
      <c r="N16">
        <f t="shared" si="0"/>
        <v>0.18</v>
      </c>
    </row>
    <row r="17" spans="1:14" ht="30" x14ac:dyDescent="0.25">
      <c r="A17" s="3" t="s">
        <v>84</v>
      </c>
      <c r="B17" s="3" t="s">
        <v>85</v>
      </c>
      <c r="C17" s="3" t="s">
        <v>86</v>
      </c>
      <c r="D17" s="3" t="s">
        <v>87</v>
      </c>
      <c r="E17" s="4"/>
      <c r="F17" s="3" t="s">
        <v>84</v>
      </c>
      <c r="G17" s="3" t="s">
        <v>88</v>
      </c>
      <c r="H17" s="3" t="s">
        <v>17</v>
      </c>
      <c r="I17" s="3" t="s">
        <v>89</v>
      </c>
      <c r="J17" s="4">
        <v>12.79</v>
      </c>
      <c r="K17" s="4">
        <v>1</v>
      </c>
      <c r="L17" s="4">
        <v>12.79</v>
      </c>
      <c r="M17" s="6">
        <v>1</v>
      </c>
      <c r="N17">
        <f t="shared" si="0"/>
        <v>12.79</v>
      </c>
    </row>
    <row r="18" spans="1:14" ht="60" x14ac:dyDescent="0.25">
      <c r="A18" s="3" t="s">
        <v>90</v>
      </c>
      <c r="B18" s="3" t="s">
        <v>91</v>
      </c>
      <c r="C18" s="3" t="s">
        <v>92</v>
      </c>
      <c r="D18" s="3" t="s">
        <v>93</v>
      </c>
      <c r="E18" s="3" t="s">
        <v>90</v>
      </c>
      <c r="F18" s="3" t="s">
        <v>94</v>
      </c>
      <c r="G18" s="3" t="s">
        <v>95</v>
      </c>
      <c r="H18" s="3" t="s">
        <v>17</v>
      </c>
      <c r="I18" s="3" t="s">
        <v>96</v>
      </c>
      <c r="J18" s="4">
        <v>0.38</v>
      </c>
      <c r="K18" s="4">
        <v>1</v>
      </c>
      <c r="L18" s="4">
        <v>0.38</v>
      </c>
      <c r="M18" s="6">
        <v>2</v>
      </c>
      <c r="N18">
        <f t="shared" si="0"/>
        <v>0.76</v>
      </c>
    </row>
    <row r="19" spans="1:14" ht="90" x14ac:dyDescent="0.25">
      <c r="A19" s="3" t="s">
        <v>97</v>
      </c>
      <c r="B19" s="3" t="s">
        <v>98</v>
      </c>
      <c r="C19" s="3" t="s">
        <v>99</v>
      </c>
      <c r="D19" s="3" t="s">
        <v>100</v>
      </c>
      <c r="E19" s="3" t="s">
        <v>97</v>
      </c>
      <c r="F19" s="3" t="s">
        <v>101</v>
      </c>
      <c r="G19" s="3" t="s">
        <v>102</v>
      </c>
      <c r="H19" s="3" t="s">
        <v>17</v>
      </c>
      <c r="I19" s="3" t="s">
        <v>103</v>
      </c>
      <c r="J19" s="4">
        <v>0.66400000000000003</v>
      </c>
      <c r="K19" s="4">
        <v>16</v>
      </c>
      <c r="L19" s="4">
        <v>10.62</v>
      </c>
      <c r="M19" s="6">
        <v>5</v>
      </c>
      <c r="N19">
        <f t="shared" si="0"/>
        <v>3.3200000000000003</v>
      </c>
    </row>
    <row r="20" spans="1:14" ht="315" x14ac:dyDescent="0.25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104</v>
      </c>
      <c r="F20" s="3" t="s">
        <v>108</v>
      </c>
      <c r="G20" s="3" t="s">
        <v>109</v>
      </c>
      <c r="H20" s="3" t="s">
        <v>17</v>
      </c>
      <c r="I20" s="3" t="s">
        <v>110</v>
      </c>
      <c r="J20" s="4">
        <v>0.1116</v>
      </c>
      <c r="K20" s="4">
        <v>64</v>
      </c>
      <c r="L20" s="4">
        <v>11.16</v>
      </c>
      <c r="M20" s="6">
        <v>20</v>
      </c>
      <c r="N20">
        <f t="shared" si="0"/>
        <v>2.2320000000000002</v>
      </c>
    </row>
    <row r="21" spans="1:14" ht="315" x14ac:dyDescent="0.25">
      <c r="A21" s="3" t="s">
        <v>111</v>
      </c>
      <c r="B21" s="3" t="s">
        <v>112</v>
      </c>
      <c r="C21" s="3" t="s">
        <v>106</v>
      </c>
      <c r="D21" s="3" t="s">
        <v>113</v>
      </c>
      <c r="E21" s="3" t="s">
        <v>111</v>
      </c>
      <c r="F21" s="3" t="s">
        <v>108</v>
      </c>
      <c r="G21" s="3" t="s">
        <v>109</v>
      </c>
      <c r="H21" s="3" t="s">
        <v>17</v>
      </c>
      <c r="I21" s="3" t="s">
        <v>114</v>
      </c>
      <c r="J21" s="4">
        <v>0.111</v>
      </c>
      <c r="K21" s="4">
        <v>64</v>
      </c>
      <c r="L21" s="4">
        <v>7.1</v>
      </c>
      <c r="M21" s="6">
        <v>20</v>
      </c>
      <c r="N21">
        <f t="shared" si="0"/>
        <v>2.2200000000000002</v>
      </c>
    </row>
    <row r="22" spans="1:14" ht="165" x14ac:dyDescent="0.25">
      <c r="A22" s="3" t="s">
        <v>115</v>
      </c>
      <c r="B22" s="3" t="s">
        <v>116</v>
      </c>
      <c r="C22" s="3" t="s">
        <v>117</v>
      </c>
      <c r="D22" s="3" t="s">
        <v>118</v>
      </c>
      <c r="E22" s="3" t="s">
        <v>115</v>
      </c>
      <c r="F22" s="3" t="s">
        <v>119</v>
      </c>
      <c r="G22" s="3" t="s">
        <v>16</v>
      </c>
      <c r="H22" s="3" t="s">
        <v>17</v>
      </c>
      <c r="I22" s="3" t="s">
        <v>120</v>
      </c>
      <c r="J22" s="4">
        <v>7.0999999999999994E-2</v>
      </c>
      <c r="K22" s="4">
        <v>32</v>
      </c>
      <c r="L22" s="4">
        <v>2.27</v>
      </c>
      <c r="M22" s="6">
        <v>10</v>
      </c>
      <c r="N22">
        <f t="shared" si="0"/>
        <v>0.71</v>
      </c>
    </row>
    <row r="23" spans="1:14" x14ac:dyDescent="0.25">
      <c r="A23" s="3" t="s">
        <v>121</v>
      </c>
      <c r="B23" s="3" t="s">
        <v>122</v>
      </c>
      <c r="C23" s="3" t="s">
        <v>117</v>
      </c>
      <c r="D23" s="3" t="s">
        <v>123</v>
      </c>
      <c r="E23" s="3" t="s">
        <v>121</v>
      </c>
      <c r="F23" s="3" t="s">
        <v>108</v>
      </c>
      <c r="G23" s="3" t="s">
        <v>109</v>
      </c>
      <c r="H23" s="3" t="s">
        <v>17</v>
      </c>
      <c r="I23" s="3" t="s">
        <v>124</v>
      </c>
      <c r="J23" s="4">
        <v>2.3E-2</v>
      </c>
      <c r="K23" s="4">
        <v>4</v>
      </c>
      <c r="L23" s="4">
        <v>0.23</v>
      </c>
      <c r="M23" s="6">
        <v>5</v>
      </c>
      <c r="N23">
        <f t="shared" si="0"/>
        <v>0.11499999999999999</v>
      </c>
    </row>
    <row r="24" spans="1:14" ht="30" x14ac:dyDescent="0.25">
      <c r="A24" s="3" t="s">
        <v>97</v>
      </c>
      <c r="B24" s="3" t="s">
        <v>125</v>
      </c>
      <c r="C24" s="3" t="s">
        <v>117</v>
      </c>
      <c r="D24" s="3" t="s">
        <v>126</v>
      </c>
      <c r="E24" s="3" t="s">
        <v>97</v>
      </c>
      <c r="F24" s="3" t="s">
        <v>108</v>
      </c>
      <c r="G24" s="3" t="s">
        <v>109</v>
      </c>
      <c r="H24" s="3" t="s">
        <v>17</v>
      </c>
      <c r="I24" s="3" t="s">
        <v>127</v>
      </c>
      <c r="J24" s="4">
        <v>2.3E-2</v>
      </c>
      <c r="K24" s="4">
        <v>4</v>
      </c>
      <c r="L24" s="4">
        <v>0.23</v>
      </c>
      <c r="M24" s="6">
        <v>5</v>
      </c>
      <c r="N24">
        <f t="shared" si="0"/>
        <v>0.11499999999999999</v>
      </c>
    </row>
    <row r="25" spans="1:14" ht="45" x14ac:dyDescent="0.25">
      <c r="A25" s="3" t="s">
        <v>128</v>
      </c>
      <c r="B25" s="3" t="s">
        <v>129</v>
      </c>
      <c r="C25" s="3" t="s">
        <v>130</v>
      </c>
      <c r="D25" s="3" t="s">
        <v>131</v>
      </c>
      <c r="E25" s="3" t="s">
        <v>128</v>
      </c>
      <c r="F25" s="3" t="s">
        <v>108</v>
      </c>
      <c r="G25" s="3" t="s">
        <v>109</v>
      </c>
      <c r="H25" s="3" t="s">
        <v>17</v>
      </c>
      <c r="I25" s="3" t="s">
        <v>132</v>
      </c>
      <c r="J25" s="4">
        <v>0.1</v>
      </c>
      <c r="K25" s="4">
        <v>1</v>
      </c>
      <c r="L25" s="4">
        <v>0.1</v>
      </c>
      <c r="M25" s="6">
        <v>1</v>
      </c>
      <c r="N25">
        <f t="shared" si="0"/>
        <v>0.1</v>
      </c>
    </row>
    <row r="26" spans="1:14" x14ac:dyDescent="0.25">
      <c r="A26" s="3" t="s">
        <v>133</v>
      </c>
      <c r="B26" s="3" t="s">
        <v>134</v>
      </c>
      <c r="C26" s="3" t="s">
        <v>106</v>
      </c>
      <c r="D26" s="3" t="s">
        <v>135</v>
      </c>
      <c r="E26" s="3" t="s">
        <v>133</v>
      </c>
      <c r="F26" s="3" t="s">
        <v>108</v>
      </c>
      <c r="G26" s="3" t="s">
        <v>109</v>
      </c>
      <c r="H26" s="3" t="s">
        <v>17</v>
      </c>
      <c r="I26" s="3" t="s">
        <v>136</v>
      </c>
      <c r="J26" s="4">
        <v>0.1</v>
      </c>
      <c r="K26" s="4">
        <v>1</v>
      </c>
      <c r="L26" s="4">
        <v>0.1</v>
      </c>
      <c r="M26" s="6">
        <v>1</v>
      </c>
      <c r="N26">
        <f t="shared" si="0"/>
        <v>0.1</v>
      </c>
    </row>
    <row r="27" spans="1:14" ht="45" x14ac:dyDescent="0.25">
      <c r="A27" s="3" t="s">
        <v>137</v>
      </c>
      <c r="B27" s="3" t="s">
        <v>138</v>
      </c>
      <c r="C27" s="3" t="s">
        <v>130</v>
      </c>
      <c r="D27" s="3" t="s">
        <v>139</v>
      </c>
      <c r="E27" s="3" t="s">
        <v>137</v>
      </c>
      <c r="F27" s="3" t="s">
        <v>108</v>
      </c>
      <c r="G27" s="3" t="s">
        <v>109</v>
      </c>
      <c r="H27" s="3" t="s">
        <v>17</v>
      </c>
      <c r="I27" s="3" t="s">
        <v>140</v>
      </c>
      <c r="J27" s="4">
        <v>0.1</v>
      </c>
      <c r="K27" s="4">
        <v>1</v>
      </c>
      <c r="L27" s="4">
        <v>0.1</v>
      </c>
      <c r="M27" s="6">
        <v>1</v>
      </c>
      <c r="N27">
        <f t="shared" si="0"/>
        <v>0.1</v>
      </c>
    </row>
    <row r="28" spans="1:14" ht="30" x14ac:dyDescent="0.25">
      <c r="A28" s="3" t="s">
        <v>141</v>
      </c>
      <c r="B28" s="3" t="s">
        <v>142</v>
      </c>
      <c r="C28" s="3" t="s">
        <v>143</v>
      </c>
      <c r="D28" s="3" t="s">
        <v>144</v>
      </c>
      <c r="E28" s="3" t="s">
        <v>141</v>
      </c>
      <c r="F28" s="3" t="s">
        <v>108</v>
      </c>
      <c r="G28" s="3" t="s">
        <v>109</v>
      </c>
      <c r="H28" s="3" t="s">
        <v>17</v>
      </c>
      <c r="I28" s="3" t="s">
        <v>145</v>
      </c>
      <c r="J28" s="4">
        <v>0.1</v>
      </c>
      <c r="K28" s="4">
        <v>1</v>
      </c>
      <c r="L28" s="4">
        <v>0.1</v>
      </c>
      <c r="M28" s="6">
        <v>1</v>
      </c>
      <c r="N28">
        <f t="shared" si="0"/>
        <v>0.1</v>
      </c>
    </row>
    <row r="29" spans="1:14" x14ac:dyDescent="0.25">
      <c r="A29" s="3" t="s">
        <v>146</v>
      </c>
      <c r="B29" s="3" t="s">
        <v>147</v>
      </c>
      <c r="C29" s="3" t="s">
        <v>117</v>
      </c>
      <c r="D29" s="3" t="s">
        <v>148</v>
      </c>
      <c r="E29" s="3" t="s">
        <v>146</v>
      </c>
      <c r="F29" s="3" t="s">
        <v>108</v>
      </c>
      <c r="G29" s="3" t="s">
        <v>109</v>
      </c>
      <c r="H29" s="3" t="s">
        <v>17</v>
      </c>
      <c r="I29" s="3" t="s">
        <v>149</v>
      </c>
      <c r="J29" s="4">
        <v>0.1</v>
      </c>
      <c r="K29" s="4">
        <v>1</v>
      </c>
      <c r="L29" s="4">
        <v>0.1</v>
      </c>
      <c r="M29" s="6">
        <v>1</v>
      </c>
      <c r="N29">
        <f t="shared" si="0"/>
        <v>0.1</v>
      </c>
    </row>
    <row r="30" spans="1:14" x14ac:dyDescent="0.25">
      <c r="A30" s="3" t="s">
        <v>150</v>
      </c>
      <c r="B30" s="3" t="s">
        <v>151</v>
      </c>
      <c r="C30" s="3" t="s">
        <v>117</v>
      </c>
      <c r="D30" s="3" t="s">
        <v>148</v>
      </c>
      <c r="E30" s="3" t="s">
        <v>150</v>
      </c>
      <c r="F30" s="3" t="s">
        <v>108</v>
      </c>
      <c r="G30" s="3" t="s">
        <v>109</v>
      </c>
      <c r="H30" s="3" t="s">
        <v>17</v>
      </c>
      <c r="I30" s="3" t="s">
        <v>149</v>
      </c>
      <c r="J30" s="4">
        <v>0.1</v>
      </c>
      <c r="K30" s="4">
        <v>1</v>
      </c>
      <c r="L30" s="4">
        <v>0.1</v>
      </c>
      <c r="M30" s="6">
        <v>1</v>
      </c>
      <c r="N30">
        <f t="shared" si="0"/>
        <v>0.1</v>
      </c>
    </row>
    <row r="31" spans="1:14" ht="30" x14ac:dyDescent="0.25">
      <c r="A31" s="3" t="s">
        <v>152</v>
      </c>
      <c r="B31" s="3" t="s">
        <v>153</v>
      </c>
      <c r="C31" s="3" t="s">
        <v>154</v>
      </c>
      <c r="D31" s="3" t="s">
        <v>155</v>
      </c>
      <c r="E31" s="4"/>
      <c r="F31" s="3" t="s">
        <v>108</v>
      </c>
      <c r="G31" s="3" t="s">
        <v>156</v>
      </c>
      <c r="H31" s="3" t="s">
        <v>17</v>
      </c>
      <c r="I31" s="3" t="s">
        <v>157</v>
      </c>
      <c r="J31" s="4">
        <v>3.76</v>
      </c>
      <c r="K31" s="4">
        <v>4</v>
      </c>
      <c r="L31" s="4">
        <v>15.04</v>
      </c>
      <c r="M31" s="6">
        <v>1</v>
      </c>
      <c r="N31">
        <f t="shared" si="0"/>
        <v>3.76</v>
      </c>
    </row>
    <row r="32" spans="1:14" ht="60" x14ac:dyDescent="0.25">
      <c r="A32" s="3" t="s">
        <v>158</v>
      </c>
      <c r="B32" s="3" t="s">
        <v>159</v>
      </c>
      <c r="C32" s="3" t="s">
        <v>154</v>
      </c>
      <c r="D32" s="3" t="s">
        <v>158</v>
      </c>
      <c r="E32" s="4"/>
      <c r="F32" s="3" t="s">
        <v>160</v>
      </c>
      <c r="G32" s="3" t="s">
        <v>161</v>
      </c>
      <c r="H32" s="3" t="s">
        <v>17</v>
      </c>
      <c r="I32" s="3" t="s">
        <v>162</v>
      </c>
      <c r="J32" s="4">
        <v>6.91</v>
      </c>
      <c r="K32" s="4">
        <v>8</v>
      </c>
      <c r="L32" s="4">
        <v>55.28</v>
      </c>
      <c r="M32" s="6">
        <v>2</v>
      </c>
      <c r="N32">
        <f t="shared" si="0"/>
        <v>13.82</v>
      </c>
    </row>
    <row r="33" spans="1:14" ht="30" x14ac:dyDescent="0.25">
      <c r="A33" s="3" t="s">
        <v>163</v>
      </c>
      <c r="B33" s="3" t="s">
        <v>164</v>
      </c>
      <c r="C33" s="3" t="s">
        <v>165</v>
      </c>
      <c r="D33" s="3" t="s">
        <v>166</v>
      </c>
      <c r="E33" s="4"/>
      <c r="F33" s="3" t="s">
        <v>167</v>
      </c>
      <c r="G33" s="3" t="s">
        <v>168</v>
      </c>
      <c r="H33" s="3" t="s">
        <v>17</v>
      </c>
      <c r="I33" s="3" t="s">
        <v>169</v>
      </c>
      <c r="J33" s="4">
        <v>10.96</v>
      </c>
      <c r="K33" s="4">
        <v>4</v>
      </c>
      <c r="L33" s="4">
        <v>43.84</v>
      </c>
      <c r="M33" s="6">
        <v>1</v>
      </c>
      <c r="N33">
        <f t="shared" si="0"/>
        <v>10.96</v>
      </c>
    </row>
    <row r="34" spans="1:14" ht="60" x14ac:dyDescent="0.25">
      <c r="A34" s="3" t="s">
        <v>170</v>
      </c>
      <c r="B34" s="3" t="s">
        <v>171</v>
      </c>
      <c r="C34" s="3" t="s">
        <v>172</v>
      </c>
      <c r="D34" s="3" t="s">
        <v>173</v>
      </c>
      <c r="E34" s="4"/>
      <c r="F34" s="3" t="s">
        <v>174</v>
      </c>
      <c r="G34" s="3" t="s">
        <v>175</v>
      </c>
      <c r="H34" s="3" t="s">
        <v>17</v>
      </c>
      <c r="I34" s="3" t="s">
        <v>176</v>
      </c>
      <c r="J34" s="4">
        <v>3.15</v>
      </c>
      <c r="K34" s="4">
        <v>1</v>
      </c>
      <c r="L34" s="4">
        <v>3.15</v>
      </c>
      <c r="M34" s="6">
        <v>1</v>
      </c>
      <c r="N34">
        <f t="shared" si="0"/>
        <v>3.15</v>
      </c>
    </row>
    <row r="35" spans="1:14" ht="90" x14ac:dyDescent="0.25">
      <c r="A35" s="3" t="s">
        <v>177</v>
      </c>
      <c r="B35" s="3" t="s">
        <v>178</v>
      </c>
      <c r="C35" s="3" t="s">
        <v>154</v>
      </c>
      <c r="D35" s="3" t="s">
        <v>179</v>
      </c>
      <c r="E35" s="4"/>
      <c r="F35" s="3" t="s">
        <v>180</v>
      </c>
      <c r="G35" s="3" t="s">
        <v>181</v>
      </c>
      <c r="H35" s="3" t="s">
        <v>17</v>
      </c>
      <c r="I35" s="3" t="s">
        <v>182</v>
      </c>
      <c r="J35" s="4">
        <v>2.66</v>
      </c>
      <c r="K35" s="4">
        <v>3</v>
      </c>
      <c r="L35" s="4">
        <v>7.98</v>
      </c>
      <c r="M35" s="6">
        <v>3</v>
      </c>
      <c r="N35">
        <f t="shared" si="0"/>
        <v>7.98</v>
      </c>
    </row>
    <row r="36" spans="1:14" ht="60" x14ac:dyDescent="0.25">
      <c r="A36" s="3" t="s">
        <v>183</v>
      </c>
      <c r="B36" s="3" t="s">
        <v>184</v>
      </c>
      <c r="C36" s="3" t="s">
        <v>172</v>
      </c>
      <c r="D36" s="3" t="s">
        <v>185</v>
      </c>
      <c r="E36" s="4"/>
      <c r="F36" s="3" t="s">
        <v>186</v>
      </c>
      <c r="G36" s="3" t="s">
        <v>175</v>
      </c>
      <c r="H36" s="3" t="s">
        <v>17</v>
      </c>
      <c r="I36" s="3" t="s">
        <v>187</v>
      </c>
      <c r="J36" s="4">
        <v>3.15</v>
      </c>
      <c r="K36" s="4">
        <v>1</v>
      </c>
      <c r="L36" s="4">
        <v>3.15</v>
      </c>
      <c r="M36" s="6">
        <v>1</v>
      </c>
      <c r="N36">
        <f t="shared" si="0"/>
        <v>3.15</v>
      </c>
    </row>
    <row r="37" spans="1:14" ht="105" x14ac:dyDescent="0.25">
      <c r="A37" s="3" t="s">
        <v>188</v>
      </c>
      <c r="B37" s="3" t="s">
        <v>189</v>
      </c>
      <c r="C37" s="3" t="s">
        <v>154</v>
      </c>
      <c r="D37" s="3" t="s">
        <v>190</v>
      </c>
      <c r="E37" s="4"/>
      <c r="F37" s="3" t="s">
        <v>191</v>
      </c>
      <c r="G37" s="3" t="s">
        <v>192</v>
      </c>
      <c r="H37" s="3" t="s">
        <v>17</v>
      </c>
      <c r="I37" s="3" t="s">
        <v>193</v>
      </c>
      <c r="J37" s="4">
        <v>2.66</v>
      </c>
      <c r="K37" s="4">
        <v>1</v>
      </c>
      <c r="L37" s="4">
        <v>2.66</v>
      </c>
      <c r="M37" s="6">
        <v>1</v>
      </c>
      <c r="N37">
        <f t="shared" si="0"/>
        <v>2.66</v>
      </c>
    </row>
    <row r="38" spans="1:14" ht="75" x14ac:dyDescent="0.25">
      <c r="A38" s="3" t="s">
        <v>194</v>
      </c>
      <c r="B38" s="3" t="s">
        <v>195</v>
      </c>
      <c r="C38" s="3" t="s">
        <v>196</v>
      </c>
      <c r="D38" s="3" t="s">
        <v>194</v>
      </c>
      <c r="E38" s="3" t="s">
        <v>194</v>
      </c>
      <c r="F38" s="3" t="s">
        <v>197</v>
      </c>
      <c r="G38" s="3" t="s">
        <v>194</v>
      </c>
      <c r="H38" s="3" t="s">
        <v>17</v>
      </c>
      <c r="I38" s="3" t="s">
        <v>198</v>
      </c>
      <c r="J38" s="4">
        <v>2.64</v>
      </c>
      <c r="K38" s="4">
        <v>1</v>
      </c>
      <c r="L38" s="4">
        <v>2.64</v>
      </c>
      <c r="M38" s="6">
        <v>1</v>
      </c>
      <c r="N38">
        <f t="shared" si="0"/>
        <v>2.64</v>
      </c>
    </row>
    <row r="39" spans="1:14" ht="90" x14ac:dyDescent="0.25">
      <c r="A39" s="3" t="s">
        <v>199</v>
      </c>
      <c r="B39" s="3" t="s">
        <v>200</v>
      </c>
      <c r="C39" s="3" t="s">
        <v>196</v>
      </c>
      <c r="D39" s="3" t="s">
        <v>201</v>
      </c>
      <c r="E39" s="4"/>
      <c r="F39" s="3" t="s">
        <v>202</v>
      </c>
      <c r="G39" s="3" t="s">
        <v>201</v>
      </c>
      <c r="H39" s="3" t="s">
        <v>17</v>
      </c>
      <c r="I39" s="3" t="s">
        <v>203</v>
      </c>
      <c r="J39" s="4">
        <v>3.28</v>
      </c>
      <c r="K39" s="4">
        <v>1</v>
      </c>
      <c r="L39" s="4">
        <v>3.28</v>
      </c>
      <c r="M39" s="6">
        <v>1</v>
      </c>
      <c r="N39">
        <f t="shared" si="0"/>
        <v>3.28</v>
      </c>
    </row>
    <row r="40" spans="1:14" x14ac:dyDescent="0.25">
      <c r="L40">
        <f>SUM(L2:L39)</f>
        <v>194.47</v>
      </c>
      <c r="N40">
        <f>SUM(N2:N39)</f>
        <v>80.185000000000002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BOM_Analog_Daugther_MAX11331_6U</vt:lpstr>
      <vt:lpstr>BOM_Analog_Daugther_MAX11331_6U!Drucktitel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2020-06-16T07:49:44Z</dcterms:created>
  <dcterms:modified xsi:type="dcterms:W3CDTF">2020-06-16T07:56:35Z</dcterms:modified>
</cp:coreProperties>
</file>